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tian Huanchicay\Desktop\"/>
    </mc:Choice>
  </mc:AlternateContent>
  <xr:revisionPtr revIDLastSave="0" documentId="13_ncr:1_{15916E4D-87B6-4C25-951F-27E19C2B58F9}" xr6:coauthVersionLast="47" xr6:coauthVersionMax="47" xr10:uidLastSave="{00000000-0000-0000-0000-000000000000}"/>
  <bookViews>
    <workbookView xWindow="-120" yWindow="-120" windowWidth="20730" windowHeight="11040" firstSheet="4" activeTab="1" xr2:uid="{00000000-000D-0000-FFFF-FFFF00000000}"/>
  </bookViews>
  <sheets>
    <sheet name="Stakeholders" sheetId="2" r:id="rId1"/>
    <sheet name="Restricciones" sheetId="3" r:id="rId2"/>
    <sheet name="Requerimientos" sheetId="4" r:id="rId3"/>
    <sheet name="Metricas_Exito" sheetId="5" r:id="rId4"/>
    <sheet name="RACI" sheetId="6" r:id="rId5"/>
    <sheet name="Trazabilidad" sheetId="7" r:id="rId6"/>
    <sheet name="Matriz_Poder_Interes" sheetId="9" r:id="rId7"/>
    <sheet name="Checklis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<sst xmlns="http://schemas.openxmlformats.org/spreadsheetml/2006/main" count="367" uniqueCount="222">
  <si>
    <t>Stakeholder</t>
  </si>
  <si>
    <t>Qué le importa</t>
  </si>
  <si>
    <t>Poder (1–5)</t>
  </si>
  <si>
    <t>Interés (1–5)</t>
  </si>
  <si>
    <t>Evidencia breve</t>
  </si>
  <si>
    <t>Cuadrante (auto)</t>
  </si>
  <si>
    <t>Estudiantes</t>
  </si>
  <si>
    <t>Buscar y acceder rápido a las salsas de clases vía móvil</t>
  </si>
  <si>
    <t>Uso directo y frecuente</t>
  </si>
  <si>
    <t>Docentes</t>
  </si>
  <si>
    <t>Ubicar salas rápidamente y ver disponibilidad</t>
  </si>
  <si>
    <t>Impacta planificación del curso</t>
  </si>
  <si>
    <t>Undidad de TI</t>
  </si>
  <si>
    <t>Compatibilidad con el sistema del campus</t>
  </si>
  <si>
    <t>Administra sistemas centrales</t>
  </si>
  <si>
    <t>Decano</t>
  </si>
  <si>
    <t>Optimizar la gestión académica y experiencia estudiantil</t>
  </si>
  <si>
    <t>Tiene poder de decisión estratégico</t>
  </si>
  <si>
    <t>Ejecutiva de la progresion</t>
  </si>
  <si>
    <t>Monitorear asistencia y progresión de estudiantes</t>
  </si>
  <si>
    <t>Requiere datos confiables para reportes</t>
  </si>
  <si>
    <t>Personal de limpieza</t>
  </si>
  <si>
    <t>Acceso claro a salas para limpieza y mantención</t>
  </si>
  <si>
    <t>Planificación de rutinas de aseo</t>
  </si>
  <si>
    <t>Personas externas</t>
  </si>
  <si>
    <t>Ubicarse en charlas, seminarios o visitas</t>
  </si>
  <si>
    <t>Acceden ocasionalmente a instalaciones</t>
  </si>
  <si>
    <t>Tipo</t>
  </si>
  <si>
    <t>Enunciado (Debe/No debe)</t>
  </si>
  <si>
    <t>Fuente</t>
  </si>
  <si>
    <t>Cómo verificar</t>
  </si>
  <si>
    <t>Técnica</t>
  </si>
  <si>
    <t>Debe ser compatible con dispositivos móviles Android e iOS</t>
  </si>
  <si>
    <t>Lineamientos TI UNAP</t>
  </si>
  <si>
    <t>Pruebas en distintos navegadores y móviles</t>
  </si>
  <si>
    <t>No debe requerir instalación de software adicional en el dispositivo del usuario</t>
  </si>
  <si>
    <t>Política de usabilidad</t>
  </si>
  <si>
    <t>Revisión de arquitectura del sistema</t>
  </si>
  <si>
    <t>Debe soportar al menos 500 usuarios concurrentes sin caída</t>
  </si>
  <si>
    <t>Requerimientos de escalabilidad</t>
  </si>
  <si>
    <t>Pruebas de carga (stress test)</t>
  </si>
  <si>
    <t>Legal</t>
  </si>
  <si>
    <t>No debe almacenar datos sensibles de estudiantes (ej. RUT, notas)</t>
  </si>
  <si>
    <t>Ley de protección de datos (Chile)</t>
  </si>
  <si>
    <t>Auditoría de base de datos</t>
  </si>
  <si>
    <t>Debe cumplir con accesibilidad digital (WCAG 2.1)</t>
  </si>
  <si>
    <t>Normativa de inclusión UNAP</t>
  </si>
  <si>
    <t>Revisión de interfaz y checklist accesibilidad</t>
  </si>
  <si>
    <t>Operativa</t>
  </si>
  <si>
    <t>Debe estar disponible 24/7</t>
  </si>
  <si>
    <t>Dirección Académica</t>
  </si>
  <si>
    <t>Monitoreo de uptime</t>
  </si>
  <si>
    <t>Unidad de TI</t>
  </si>
  <si>
    <t>ID</t>
  </si>
  <si>
    <t>Enunciado (con valor)</t>
  </si>
  <si>
    <t>Criterios de aceptación (Dado–Cuando–Entonces)</t>
  </si>
  <si>
    <t>R-01</t>
  </si>
  <si>
    <t>Funcional</t>
  </si>
  <si>
    <t>El sistema deberá permitir que estudiantes y docentes ingresen el código o nombre de la sala para obtener la ruta guiada hacia ella.</t>
  </si>
  <si>
    <t>R-02</t>
  </si>
  <si>
    <t>El sistema deberá mostrar al usuario la fotografía del edificio correspondiente y el piso donde se encuentra la sala.</t>
  </si>
  <si>
    <t>R-03</t>
  </si>
  <si>
    <t>El sistema deberá generar una flecha guía en tiempo real que indique la dirección a seguir dentro del campus.</t>
  </si>
  <si>
    <t>R-04</t>
  </si>
  <si>
    <t>El sistema deberá solicitar al usuario escanear un código QR al llegar al edificio para validar el avance en la ruta.</t>
  </si>
  <si>
    <t>R-05</t>
  </si>
  <si>
    <t>El sistema debe permitir activar un opcion de realidad aumentada que superponga flechas de orientación sobre el entorno captado por la cámara del dispositivo.</t>
  </si>
  <si>
    <t>El sistema debe permitir activar una opción de realidad aumentada que superponga flechas de orientación sobre el entorno captado por la cámara del dispositivo.</t>
  </si>
  <si>
    <t>R-06</t>
  </si>
  <si>
    <t>El sistema debe mostrar el horario completo de la sala, incluyendo asignaturas y docentes asignados.</t>
  </si>
  <si>
    <t>R-07</t>
  </si>
  <si>
    <t>El sistema deberá permitir a la administración obtener estadísticas de uso (salas más consultadas, tiempos de búsqueda, etc.).</t>
  </si>
  <si>
    <t>R-08</t>
  </si>
  <si>
    <t>El sistema deberá ser integrable con los sistemas centrales del campus (por ejemplo, base de datos de salas y calendario académico).</t>
  </si>
  <si>
    <t xml:space="preserve">El sistema deberá ser integrable con los sistemas centrales del campus (por ejemplo, base de datos de salas y calendario académico). </t>
  </si>
  <si>
    <t>R-09</t>
  </si>
  <si>
    <t>El sistema debe permitir a la administración ver qué asignaturas y qué horarios están asociados a cada sala.</t>
  </si>
  <si>
    <t>R-10</t>
  </si>
  <si>
    <t>El sistema debe permitir generar estadísticas de consultas de salas y rutas más usadas.</t>
  </si>
  <si>
    <t>R-11</t>
  </si>
  <si>
    <t>El sistema debe permitir a personas externas acceder a la aplicación sin necesidad de credenciales universitarias, solo ingresando el código de sala.</t>
  </si>
  <si>
    <t>R-12</t>
  </si>
  <si>
    <t>El sistema debe permitir que usuarios autenticados vean información adicional (por ejemplo, nombre del docente o asignatura vinculada).</t>
  </si>
  <si>
    <t>R-13</t>
  </si>
  <si>
    <t>R-14</t>
  </si>
  <si>
    <t>R-15</t>
  </si>
  <si>
    <t>R-16</t>
  </si>
  <si>
    <t>R-17</t>
  </si>
  <si>
    <t>R-18</t>
  </si>
  <si>
    <t>R-19</t>
  </si>
  <si>
    <t>R-20</t>
  </si>
  <si>
    <t>No Funcional</t>
  </si>
  <si>
    <t>La interfaz deberá ser intuitiva, con íconos claros, fotografías reales y textos breves.</t>
  </si>
  <si>
    <t>Dado un usuario nuevo, cuando intenta buscar una sala sin tutorial, entonces completa la tarea sin ayuda y sin errores críticos.</t>
  </si>
  <si>
    <t>R-21</t>
  </si>
  <si>
    <t>El sistema deberá mostrar resultados de búsqueda y carga de mapas en menos de 3 segundos.</t>
  </si>
  <si>
    <t>Dado el ambiente normal (red ≥ 10 Mbps, servidor operativo), cuando el usuario busca una sala o carga el mapa, entonces el p95 del tiempo de respuesta es &lt; 3 s y el error rate &lt; 1%.</t>
  </si>
  <si>
    <t>R-22</t>
  </si>
  <si>
    <t>El sistema deberá funcionar en navegadores web y dispositivos móviles Android/iOS.</t>
  </si>
  <si>
    <t>Dado navegadores soportados (últimas 2 versiones de Chrome, Edge, Firefox, Safari), cuando el usuario accede a la app, entonces puede buscar sala, ver ruta y mapa sin fallos.</t>
  </si>
  <si>
    <t>R-23</t>
  </si>
  <si>
    <t>El sistema deberá proteger la base de datos de salas y credenciales de acceso mediante cifrado.</t>
  </si>
  <si>
    <t>Dado el almacenamiento de datos sensibles, cuando se revisa la BD, entonces credenciales están hasheadas y datos sensibles cifrados en reposo.</t>
  </si>
  <si>
    <t>R-24</t>
  </si>
  <si>
    <t>El sistema deberá soportar al menos 500 usuarios concurrentes sin afectar la estabilidad.</t>
  </si>
  <si>
    <t>Dado una prueba de carga con 500 usuarios concurrentes por ≥ 10 minutos, cuando ejecutan búsqueda y carga de mapa, entonces el sistema mantiene p95 &lt; 3 s, error rate &lt; 1% y recursos del servidor bajo 80% de CPU y RAM.</t>
  </si>
  <si>
    <t>R-25</t>
  </si>
  <si>
    <t>La interfaz deberá cumplir con estándares de accesibilidad (ejemplo: colores contrastantes, texto alternativo en imágenes).</t>
  </si>
  <si>
    <t>Dado la versión web en producción, cuando se audita con Lighthouse, entonces la puntuación de Accesibilidad es ≥ 90.</t>
  </si>
  <si>
    <t>R-26</t>
  </si>
  <si>
    <t>El sistema deberá estar documentado y permitir actualizaciones futuras sin afectar su funcionamiento.</t>
  </si>
  <si>
    <t>Dado el repositorio del proyecto, cuando se revisa la documentación, entonces existe README, guía de despliegue, API docs y diagramas.</t>
  </si>
  <si>
    <t>R-27</t>
  </si>
  <si>
    <t>R-28</t>
  </si>
  <si>
    <t>R-29</t>
  </si>
  <si>
    <t>R-30</t>
  </si>
  <si>
    <t>Métrica</t>
  </si>
  <si>
    <t>Definición operacional</t>
  </si>
  <si>
    <t>Línea base</t>
  </si>
  <si>
    <t>Meta</t>
  </si>
  <si>
    <t>Frecuencia</t>
  </si>
  <si>
    <t>Precision  de localizacion</t>
  </si>
  <si>
    <t>% de rutas que llevan al usuario correctamente a la sala sin errores</t>
  </si>
  <si>
    <t>0.95</t>
  </si>
  <si>
    <t>Semanal</t>
  </si>
  <si>
    <t>Uso de codigos QR</t>
  </si>
  <si>
    <t>% De usuarios que validan su ruta escaneando el QR al llegar al edificio</t>
  </si>
  <si>
    <t>0.7</t>
  </si>
  <si>
    <t>Diario</t>
  </si>
  <si>
    <t>Satisfaccion de Usuario</t>
  </si>
  <si>
    <t>Puntuacion en system y usability escale (o-100)</t>
  </si>
  <si>
    <t>&gt;=75</t>
  </si>
  <si>
    <t>Trimestral</t>
  </si>
  <si>
    <t>Taza de adopcion de realidad aumentada</t>
  </si>
  <si>
    <t>% De usuarios que activan la opcion de realidad aumentada en al menos una ruta</t>
  </si>
  <si>
    <t>0.40</t>
  </si>
  <si>
    <t>Asistencia de estudiantes</t>
  </si>
  <si>
    <t xml:space="preserve">% De estudiantes que asisten a clases programadas al inicio del semeste </t>
  </si>
  <si>
    <t>0.60</t>
  </si>
  <si>
    <t>0.85</t>
  </si>
  <si>
    <t>Mensual</t>
  </si>
  <si>
    <t>Tarea</t>
  </si>
  <si>
    <t>Ejecutiva de Progresión</t>
  </si>
  <si>
    <t>Personal de Limpieza</t>
  </si>
  <si>
    <t>Personas Externo</t>
  </si>
  <si>
    <t>Desarrolladores</t>
  </si>
  <si>
    <t xml:space="preserve">Lider de proyecto </t>
  </si>
  <si>
    <t>Búsqueda y localización de salas</t>
  </si>
  <si>
    <t>R</t>
  </si>
  <si>
    <t>A</t>
  </si>
  <si>
    <t>I</t>
  </si>
  <si>
    <t>Visualización de información de salas</t>
  </si>
  <si>
    <t>Navegación interactiva</t>
  </si>
  <si>
    <t>Validación de ubicación</t>
  </si>
  <si>
    <t>C</t>
  </si>
  <si>
    <t>Gestión de horarios y asignaturas</t>
  </si>
  <si>
    <t>Gestión administrativa y analítica</t>
  </si>
  <si>
    <t>Acceso diferenciado de usuarios</t>
  </si>
  <si>
    <t>Integración con sistemas institucionales</t>
  </si>
  <si>
    <t>Req (ID)</t>
  </si>
  <si>
    <t>Diseño/Componente</t>
  </si>
  <si>
    <t>Prueba vinculada</t>
  </si>
  <si>
    <t>Estado</t>
  </si>
  <si>
    <t>Búsqueda por código/nombre de sala</t>
  </si>
  <si>
    <t>Test de búsqueda: coincidencia exacta y parcial; sin resultados</t>
  </si>
  <si>
    <t>Pendiente</t>
  </si>
  <si>
    <t>Vista edificio/piso con foto</t>
  </si>
  <si>
    <t>Test UI: muestra foto correcta y piso según sala</t>
  </si>
  <si>
    <t>Navegación en tiempo real (flecha guía)</t>
  </si>
  <si>
    <t>Test de navegación: actualización de dirección &lt; 500 ms y precisión en puntos de control</t>
  </si>
  <si>
    <t>Validación de avance con QR en edificio</t>
  </si>
  <si>
    <t>Test QR: escaneo y registro de avance; manejo de QR inválido</t>
  </si>
  <si>
    <t>Modo Realidad Aumentada (flechas AR)</t>
  </si>
  <si>
    <t>Test AR: render estable y alineación con orientación del dispositivo</t>
  </si>
  <si>
    <t>Módulo de Horarios por sala</t>
  </si>
  <si>
    <t>Test de horarios: carga completa (asignaturas/docentes) y conflictos</t>
  </si>
  <si>
    <t>Panel de estadísticas (uso, tiempos)</t>
  </si>
  <si>
    <t>Test de analítica: cálculo de métricas y rangos de fechas</t>
  </si>
  <si>
    <t>Integración con sistemas centrales (BD salas / calendario)</t>
  </si>
  <si>
    <t>Test de integración: sincronización, errores y reintentos</t>
  </si>
  <si>
    <t>Vista admin: asignaturas/horarios por sala</t>
  </si>
  <si>
    <t>Test admin: filtrado por sala y consistencia con calendario</t>
  </si>
  <si>
    <t>Métricas de consultas y rutas más usadas</t>
  </si>
  <si>
    <t>Test de ranking: TOP N por período y exportación</t>
  </si>
  <si>
    <t>Acceso visitantes sin credenciales (solo código)</t>
  </si>
  <si>
    <t>Test acceso público: flujo sin login y límites de uso</t>
  </si>
  <si>
    <t>Acceso autenticado con info extra (docente/asignatura)</t>
  </si>
  <si>
    <t>Test roles: control de visibilidad por perfil</t>
  </si>
  <si>
    <t>UI intuitiva (íconos, fotos, textos breves)</t>
  </si>
  <si>
    <t>Test de usabilidad: SUS ≥ 70 y tiempo de tarea objetivo</t>
  </si>
  <si>
    <t>Performance búsqueda/mapa &lt; 3 s</t>
  </si>
  <si>
    <t>Test de rendimiento: p95 &lt; 3 s (búsqueda y carga de mapa)</t>
  </si>
  <si>
    <t>Soporte Web + Android/iOS</t>
  </si>
  <si>
    <t>Test multiplataforma: cross-browser y dispositivos reales</t>
  </si>
  <si>
    <t>Seguridad (cifrado de BD y credenciales)</t>
  </si>
  <si>
    <t>Test OWASP: cifrado en tránsito y en reposo; revisión secretos</t>
  </si>
  <si>
    <t>Escalabilidad 500 usuarios concurrentes</t>
  </si>
  <si>
    <t>Prueba de carga: 500 concurrentes, error rate &lt; 1%, p95 &lt; 3 s</t>
  </si>
  <si>
    <t>Accesibilidad (contraste, alt-text)</t>
  </si>
  <si>
    <t>Auditoría a11y: Lighthouse ≥ 90 y revisiones manuales WCAG</t>
  </si>
  <si>
    <t>Documentación y actualizaciones seguras</t>
  </si>
  <si>
    <t>Test de despliegue: rollback, migraciones y guía de instalación</t>
  </si>
  <si>
    <t>Cuadrante</t>
  </si>
  <si>
    <t>Cantidad</t>
  </si>
  <si>
    <t>Regla</t>
  </si>
  <si>
    <t>Gestionar de cerca</t>
  </si>
  <si>
    <t>Poder ≥ 4 e Interés ≥ 4</t>
  </si>
  <si>
    <t>Satisfacer</t>
  </si>
  <si>
    <t>Poder ≥ 4 e Interés &lt; 4</t>
  </si>
  <si>
    <t>Mantener informados</t>
  </si>
  <si>
    <t>Poder &lt; 4 e Interés ≥ 4</t>
  </si>
  <si>
    <t>Monitorear</t>
  </si>
  <si>
    <t>Poder &lt; 4 e Interés &lt; 4</t>
  </si>
  <si>
    <t>Listo (Sí/No)</t>
  </si>
  <si>
    <t>Ítem</t>
  </si>
  <si>
    <t>No</t>
  </si>
  <si>
    <t>Stakeholders con Poder/Interés y evidencia breve</t>
  </si>
  <si>
    <t>Restricciones redactadas como Debe/No debe con verificación</t>
  </si>
  <si>
    <t>Requerimientos con criterios Dado–Cuando–Entonces</t>
  </si>
  <si>
    <t>KPIs con línea base, meta y frecuencia</t>
  </si>
  <si>
    <t>RACI con una sola A por fila y al menos una R</t>
  </si>
  <si>
    <t>Trazabilidad: cada Req con prueba asociada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</si>
</sst>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</cellXfs>
  <cellStyles count="1">
    <cellStyle name="Normal" xfId="0" builtinId="0"/>
  </cellStyles>
  <dxfs count="2">
    <dxf>
      <font>
        <color rgb="FFFF0000"/>
      </font>
    </dxf>
    <dxf>
      <font>
        <color rgb="FF008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="85" zoomScaleNormal="85" workbookViewId="0">
      <pane ySplit="1" topLeftCell="A2" activePane="bottomLeft" state="frozen"/>
      <selection pane="bottomLeft" activeCell="C8" sqref="C8"/>
    </sheetView>
  </sheetViews>
  <sheetFormatPr baseColWidth="10" defaultColWidth="8.85546875" defaultRowHeight="15" x14ac:dyDescent="0.25"/>
  <cols>
    <col min="1" max="1" width="26.7109375" style="2" customWidth="1"/>
    <col min="2" max="2" width="38.7109375" style="2" customWidth="1"/>
    <col min="3" max="4" width="14.7109375" style="3" customWidth="1"/>
    <col min="5" max="5" width="36.7109375" style="2" customWidth="1"/>
    <col min="6" max="6" width="22.7109375" style="2" customWidth="1"/>
  </cols>
  <sheetData>
    <row r="1" spans="1:6" s="4" customFormat="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t="s">
        <v>6</v>
      </c>
      <c r="B2" s="2" t="s">
        <v>7</v>
      </c>
      <c r="C2" s="3">
        <v>1</v>
      </c>
      <c r="D2" s="3">
        <v>5</v>
      </c>
      <c r="E2" s="2" t="s">
        <v>8</v>
      </c>
      <c r="F2" s="2" t="str">
        <f t="shared" ref="F2:F31" si="0">IF(AND(C2&gt;=4,D2&gt;=4),"Gestionar de cerca",IF(AND(C2&gt;=4,D2&lt;4),"Satisfacer",IF(AND(C2&lt;4,D2&gt;=4),"Mantener informados","Monitorear")))</f>
        <v>Mantener informados</v>
      </c>
    </row>
    <row r="3" spans="1:6" ht="30" x14ac:dyDescent="0.25">
      <c r="A3" s="2" t="s">
        <v>9</v>
      </c>
      <c r="B3" s="2" t="s">
        <v>10</v>
      </c>
      <c r="C3" s="3">
        <v>1</v>
      </c>
      <c r="D3" s="3">
        <v>5</v>
      </c>
      <c r="E3" s="2" t="s">
        <v>11</v>
      </c>
      <c r="F3" s="2" t="str">
        <f t="shared" si="0"/>
        <v>Mantener informados</v>
      </c>
    </row>
    <row r="4" spans="1:6" x14ac:dyDescent="0.25">
      <c r="A4" s="2" t="s">
        <v>12</v>
      </c>
      <c r="B4" s="2" t="s">
        <v>13</v>
      </c>
      <c r="C4" s="3">
        <v>5</v>
      </c>
      <c r="D4" s="3">
        <v>3</v>
      </c>
      <c r="E4" s="2" t="s">
        <v>14</v>
      </c>
      <c r="F4" s="2" t="str">
        <f t="shared" si="0"/>
        <v>Satisfacer</v>
      </c>
    </row>
    <row r="5" spans="1:6" ht="30" x14ac:dyDescent="0.25">
      <c r="A5" s="2" t="s">
        <v>15</v>
      </c>
      <c r="B5" s="2" t="s">
        <v>16</v>
      </c>
      <c r="C5" s="3">
        <v>3</v>
      </c>
      <c r="D5" s="3">
        <v>4</v>
      </c>
      <c r="E5" s="2" t="s">
        <v>17</v>
      </c>
      <c r="F5" s="2" t="str">
        <f t="shared" si="0"/>
        <v>Mantener informados</v>
      </c>
    </row>
    <row r="6" spans="1:6" ht="30" x14ac:dyDescent="0.25">
      <c r="A6" s="2" t="s">
        <v>18</v>
      </c>
      <c r="B6" s="2" t="s">
        <v>19</v>
      </c>
      <c r="C6" s="3">
        <v>3</v>
      </c>
      <c r="D6" s="3">
        <v>4</v>
      </c>
      <c r="E6" s="2" t="s">
        <v>20</v>
      </c>
      <c r="F6" s="2" t="str">
        <f t="shared" si="0"/>
        <v>Mantener informados</v>
      </c>
    </row>
    <row r="7" spans="1:6" ht="30" x14ac:dyDescent="0.25">
      <c r="A7" s="2" t="s">
        <v>21</v>
      </c>
      <c r="B7" s="2" t="s">
        <v>22</v>
      </c>
      <c r="C7" s="3">
        <v>1</v>
      </c>
      <c r="D7" s="3">
        <v>2</v>
      </c>
      <c r="E7" t="s">
        <v>23</v>
      </c>
      <c r="F7" s="2" t="str">
        <f t="shared" si="0"/>
        <v>Monitorear</v>
      </c>
    </row>
    <row r="8" spans="1:6" ht="30" x14ac:dyDescent="0.25">
      <c r="A8" s="2" t="s">
        <v>24</v>
      </c>
      <c r="B8" t="s">
        <v>25</v>
      </c>
      <c r="C8" s="3">
        <v>1</v>
      </c>
      <c r="D8" s="3">
        <v>3</v>
      </c>
      <c r="E8" s="2" t="s">
        <v>26</v>
      </c>
      <c r="F8" s="2" t="str">
        <f t="shared" si="0"/>
        <v>Monitorear</v>
      </c>
    </row>
    <row r="9" spans="1:6" x14ac:dyDescent="0.25">
      <c r="F9" s="2" t="str">
        <f t="shared" si="0"/>
        <v>Monitorear</v>
      </c>
    </row>
    <row r="10" spans="1:6" x14ac:dyDescent="0.25">
      <c r="F10" s="2" t="str">
        <f t="shared" si="0"/>
        <v>Monitorear</v>
      </c>
    </row>
    <row r="11" spans="1:6" x14ac:dyDescent="0.25">
      <c r="F11" s="2" t="str">
        <f t="shared" si="0"/>
        <v>Monitorear</v>
      </c>
    </row>
    <row r="12" spans="1:6" x14ac:dyDescent="0.25">
      <c r="F12" s="2" t="str">
        <f t="shared" si="0"/>
        <v>Monitorear</v>
      </c>
    </row>
    <row r="13" spans="1:6" x14ac:dyDescent="0.25">
      <c r="F13" s="2" t="str">
        <f t="shared" si="0"/>
        <v>Monitorear</v>
      </c>
    </row>
    <row r="14" spans="1:6" x14ac:dyDescent="0.25">
      <c r="F14" s="2" t="str">
        <f t="shared" si="0"/>
        <v>Monitorear</v>
      </c>
    </row>
    <row r="15" spans="1:6" x14ac:dyDescent="0.25">
      <c r="F15" s="2" t="str">
        <f t="shared" si="0"/>
        <v>Monitorear</v>
      </c>
    </row>
    <row r="16" spans="1:6" x14ac:dyDescent="0.25">
      <c r="F16" s="2" t="str">
        <f t="shared" si="0"/>
        <v>Monitorear</v>
      </c>
    </row>
    <row r="17" spans="6:6" x14ac:dyDescent="0.25">
      <c r="F17" s="2" t="str">
        <f t="shared" si="0"/>
        <v>Monitorear</v>
      </c>
    </row>
    <row r="18" spans="6:6" x14ac:dyDescent="0.25">
      <c r="F18" s="2" t="str">
        <f t="shared" si="0"/>
        <v>Monitorear</v>
      </c>
    </row>
    <row r="19" spans="6:6" x14ac:dyDescent="0.25">
      <c r="F19" s="2" t="str">
        <f t="shared" si="0"/>
        <v>Monitorear</v>
      </c>
    </row>
    <row r="20" spans="6:6" x14ac:dyDescent="0.25">
      <c r="F20" s="2" t="str">
        <f t="shared" si="0"/>
        <v>Monitorear</v>
      </c>
    </row>
    <row r="21" spans="6:6" x14ac:dyDescent="0.25">
      <c r="F21" s="2" t="str">
        <f t="shared" si="0"/>
        <v>Monitorear</v>
      </c>
    </row>
    <row r="22" spans="6:6" x14ac:dyDescent="0.25">
      <c r="F22" s="2" t="str">
        <f t="shared" si="0"/>
        <v>Monitorear</v>
      </c>
    </row>
    <row r="23" spans="6:6" x14ac:dyDescent="0.25">
      <c r="F23" s="2" t="str">
        <f t="shared" si="0"/>
        <v>Monitorear</v>
      </c>
    </row>
    <row r="24" spans="6:6" x14ac:dyDescent="0.25">
      <c r="F24" s="2" t="str">
        <f t="shared" si="0"/>
        <v>Monitorear</v>
      </c>
    </row>
    <row r="25" spans="6:6" x14ac:dyDescent="0.25">
      <c r="F25" s="2" t="str">
        <f t="shared" si="0"/>
        <v>Monitorear</v>
      </c>
    </row>
    <row r="26" spans="6:6" x14ac:dyDescent="0.25">
      <c r="F26" s="2" t="str">
        <f t="shared" si="0"/>
        <v>Monitorear</v>
      </c>
    </row>
    <row r="27" spans="6:6" x14ac:dyDescent="0.25">
      <c r="F27" s="2" t="str">
        <f t="shared" si="0"/>
        <v>Monitorear</v>
      </c>
    </row>
    <row r="28" spans="6:6" x14ac:dyDescent="0.25">
      <c r="F28" s="2" t="str">
        <f t="shared" si="0"/>
        <v>Monitorear</v>
      </c>
    </row>
    <row r="29" spans="6:6" x14ac:dyDescent="0.25">
      <c r="F29" s="2" t="str">
        <f t="shared" si="0"/>
        <v>Monitorear</v>
      </c>
    </row>
    <row r="30" spans="6:6" x14ac:dyDescent="0.25">
      <c r="F30" s="2" t="str">
        <f t="shared" si="0"/>
        <v>Monitorear</v>
      </c>
    </row>
    <row r="31" spans="6:6" x14ac:dyDescent="0.25">
      <c r="F31" s="2" t="str">
        <f t="shared" si="0"/>
        <v>Monitorear</v>
      </c>
    </row>
  </sheetData>
  <dataValidations count="3">
    <dataValidation type="whole" operator="greaterThanOrEqual" allowBlank="1" showInputMessage="1" showErrorMessage="1" promptTitle="1–5" prompt="Ingrese un entero 1–5" sqref="C2:D31" xr:uid="{00000000-0002-0000-0100-000000000000}">
      <formula1>1</formula1>
    </dataValidation>
    <dataValidation type="whole" operator="lessThanOrEqual" allowBlank="1" showInputMessage="1" showErrorMessage="1" sqref="C2:D31" xr:uid="{00000000-0002-0000-0100-000002000000}">
      <formula1>5</formula1>
    </dataValidation>
    <dataValidation type="list" allowBlank="1" showInputMessage="1" showErrorMessage="1" promptTitle="Cuadrante" prompt="Se calcula automáticamente, pero puedes ajustar si es necesario." sqref="F2:F31" xr:uid="{00000000-0002-0000-0100-000004000000}">
      <formula1>"Gestionar de cerca,Satisfacer,Mantener informados,Monitorear"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8.85546875" defaultRowHeight="15" x14ac:dyDescent="0.25"/>
  <cols>
    <col min="1" max="1" width="14.7109375" style="2" customWidth="1"/>
    <col min="2" max="2" width="48.7109375" style="2" customWidth="1"/>
    <col min="3" max="3" width="26.7109375" style="2" customWidth="1"/>
    <col min="4" max="4" width="30.7109375" style="2" customWidth="1"/>
  </cols>
  <sheetData>
    <row r="1" spans="1:4" s="4" customFormat="1" ht="27.95" customHeight="1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ht="30" x14ac:dyDescent="0.25">
      <c r="A2" s="6" t="s">
        <v>31</v>
      </c>
      <c r="B2" s="6" t="s">
        <v>32</v>
      </c>
      <c r="C2" s="6" t="s">
        <v>33</v>
      </c>
      <c r="D2" s="6" t="s">
        <v>34</v>
      </c>
    </row>
    <row r="3" spans="1:4" ht="30" x14ac:dyDescent="0.25">
      <c r="A3" s="6" t="s">
        <v>31</v>
      </c>
      <c r="B3" s="6" t="s">
        <v>35</v>
      </c>
      <c r="C3" s="6" t="s">
        <v>36</v>
      </c>
      <c r="D3" s="6" t="s">
        <v>37</v>
      </c>
    </row>
    <row r="4" spans="1:4" ht="30" x14ac:dyDescent="0.25">
      <c r="A4" s="6" t="s">
        <v>31</v>
      </c>
      <c r="B4" s="6" t="s">
        <v>38</v>
      </c>
      <c r="C4" s="6" t="s">
        <v>39</v>
      </c>
      <c r="D4" s="6" t="s">
        <v>40</v>
      </c>
    </row>
    <row r="5" spans="1:4" ht="30" x14ac:dyDescent="0.25">
      <c r="A5" s="6" t="s">
        <v>41</v>
      </c>
      <c r="B5" s="6" t="s">
        <v>42</v>
      </c>
      <c r="C5" s="6" t="s">
        <v>43</v>
      </c>
      <c r="D5" s="6" t="s">
        <v>44</v>
      </c>
    </row>
    <row r="6" spans="1:4" ht="30" x14ac:dyDescent="0.25">
      <c r="A6" s="6" t="s">
        <v>41</v>
      </c>
      <c r="B6" s="6" t="s">
        <v>45</v>
      </c>
      <c r="C6" s="6" t="s">
        <v>46</v>
      </c>
      <c r="D6" s="6" t="s">
        <v>47</v>
      </c>
    </row>
    <row r="7" spans="1:4" x14ac:dyDescent="0.25">
      <c r="A7" s="6" t="s">
        <v>48</v>
      </c>
      <c r="B7" s="6" t="s">
        <v>49</v>
      </c>
      <c r="C7" s="6" t="s">
        <v>50</v>
      </c>
      <c r="D7" s="6" t="s">
        <v>51</v>
      </c>
    </row>
  </sheetData>
  <dataValidations count="1">
    <dataValidation type="list" allowBlank="1" showInputMessage="1" showErrorMessage="1" sqref="A8:A29" xr:uid="{00000000-0002-0000-0200-000000000000}">
      <formula1>"Legal,Técnica,Operativa"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pane ySplit="1" topLeftCell="A21" activePane="bottomLeft" state="frozen"/>
      <selection pane="bottomLeft" activeCell="I25" sqref="I25"/>
    </sheetView>
  </sheetViews>
  <sheetFormatPr baseColWidth="10" defaultColWidth="8.85546875" defaultRowHeight="15" x14ac:dyDescent="0.25"/>
  <cols>
    <col min="1" max="1" width="8.7109375" style="2" customWidth="1"/>
    <col min="2" max="2" width="14.7109375" style="2" customWidth="1"/>
    <col min="3" max="3" width="69.28515625" style="2" customWidth="1"/>
    <col min="4" max="4" width="64.7109375" style="2" customWidth="1"/>
  </cols>
  <sheetData>
    <row r="1" spans="1:5" s="4" customFormat="1" ht="27.95" customHeight="1" x14ac:dyDescent="0.25">
      <c r="A1" s="1" t="s">
        <v>53</v>
      </c>
      <c r="B1" s="12" t="s">
        <v>27</v>
      </c>
      <c r="C1" s="7" t="s">
        <v>54</v>
      </c>
      <c r="D1" s="7" t="s">
        <v>55</v>
      </c>
      <c r="E1" s="15"/>
    </row>
    <row r="2" spans="1:5" ht="30" x14ac:dyDescent="0.25">
      <c r="A2" s="2" t="s">
        <v>56</v>
      </c>
      <c r="B2" s="13" t="s">
        <v>57</v>
      </c>
      <c r="C2" s="8" t="s">
        <v>58</v>
      </c>
      <c r="D2" s="9" t="s">
        <v>58</v>
      </c>
    </row>
    <row r="3" spans="1:5" ht="30" x14ac:dyDescent="0.25">
      <c r="A3" s="2" t="s">
        <v>59</v>
      </c>
      <c r="B3" s="13" t="s">
        <v>57</v>
      </c>
      <c r="C3" s="10" t="s">
        <v>60</v>
      </c>
      <c r="D3" s="11" t="s">
        <v>60</v>
      </c>
    </row>
    <row r="4" spans="1:5" ht="30" x14ac:dyDescent="0.25">
      <c r="A4" s="2" t="s">
        <v>61</v>
      </c>
      <c r="B4" s="13" t="s">
        <v>57</v>
      </c>
      <c r="C4" s="10" t="s">
        <v>62</v>
      </c>
      <c r="D4" s="9" t="s">
        <v>62</v>
      </c>
    </row>
    <row r="5" spans="1:5" ht="30" x14ac:dyDescent="0.25">
      <c r="A5" s="2" t="s">
        <v>63</v>
      </c>
      <c r="B5" s="13" t="s">
        <v>57</v>
      </c>
      <c r="C5" s="9" t="s">
        <v>64</v>
      </c>
      <c r="D5" s="8" t="s">
        <v>64</v>
      </c>
    </row>
    <row r="6" spans="1:5" ht="45" x14ac:dyDescent="0.25">
      <c r="A6" s="2" t="s">
        <v>65</v>
      </c>
      <c r="B6" s="13" t="s">
        <v>57</v>
      </c>
      <c r="C6" s="9" t="s">
        <v>66</v>
      </c>
      <c r="D6" s="8" t="s">
        <v>67</v>
      </c>
    </row>
    <row r="7" spans="1:5" ht="30" x14ac:dyDescent="0.25">
      <c r="A7" s="2" t="s">
        <v>68</v>
      </c>
      <c r="B7" s="13" t="s">
        <v>57</v>
      </c>
      <c r="C7" s="9" t="s">
        <v>69</v>
      </c>
      <c r="D7" s="8" t="s">
        <v>69</v>
      </c>
    </row>
    <row r="8" spans="1:5" ht="30" x14ac:dyDescent="0.25">
      <c r="A8" s="2" t="s">
        <v>70</v>
      </c>
      <c r="B8" s="13" t="s">
        <v>57</v>
      </c>
      <c r="C8" s="9" t="s">
        <v>71</v>
      </c>
      <c r="D8" s="8" t="s">
        <v>71</v>
      </c>
    </row>
    <row r="9" spans="1:5" ht="30" x14ac:dyDescent="0.25">
      <c r="A9" s="2" t="s">
        <v>72</v>
      </c>
      <c r="B9" s="13" t="s">
        <v>57</v>
      </c>
      <c r="C9" s="8" t="s">
        <v>73</v>
      </c>
      <c r="D9" s="8" t="s">
        <v>74</v>
      </c>
    </row>
    <row r="10" spans="1:5" ht="30" x14ac:dyDescent="0.25">
      <c r="A10" s="2" t="s">
        <v>75</v>
      </c>
      <c r="B10" s="13" t="s">
        <v>57</v>
      </c>
      <c r="C10" s="8" t="s">
        <v>76</v>
      </c>
      <c r="D10" s="8" t="s">
        <v>76</v>
      </c>
    </row>
    <row r="11" spans="1:5" ht="30" x14ac:dyDescent="0.25">
      <c r="A11" s="2" t="s">
        <v>77</v>
      </c>
      <c r="B11" s="13" t="s">
        <v>57</v>
      </c>
      <c r="C11" s="9" t="s">
        <v>78</v>
      </c>
      <c r="D11" s="8" t="s">
        <v>78</v>
      </c>
    </row>
    <row r="12" spans="1:5" ht="45" x14ac:dyDescent="0.25">
      <c r="A12" s="2" t="s">
        <v>79</v>
      </c>
      <c r="B12" s="13" t="s">
        <v>57</v>
      </c>
      <c r="C12" s="8" t="s">
        <v>80</v>
      </c>
      <c r="D12" s="8" t="s">
        <v>80</v>
      </c>
    </row>
    <row r="13" spans="1:5" ht="30" x14ac:dyDescent="0.25">
      <c r="A13" s="2" t="s">
        <v>81</v>
      </c>
      <c r="B13" s="13" t="s">
        <v>57</v>
      </c>
      <c r="C13" s="8" t="s">
        <v>82</v>
      </c>
      <c r="D13" s="8" t="s">
        <v>82</v>
      </c>
    </row>
    <row r="14" spans="1:5" x14ac:dyDescent="0.25">
      <c r="A14" s="2" t="s">
        <v>83</v>
      </c>
      <c r="B14" s="13"/>
      <c r="C14" s="8"/>
      <c r="D14" s="8"/>
    </row>
    <row r="15" spans="1:5" x14ac:dyDescent="0.25">
      <c r="A15" s="2" t="s">
        <v>84</v>
      </c>
      <c r="B15" s="13"/>
      <c r="C15" s="8"/>
      <c r="D15" s="8"/>
    </row>
    <row r="16" spans="1:5" x14ac:dyDescent="0.25">
      <c r="A16" s="2" t="s">
        <v>85</v>
      </c>
      <c r="B16" s="13"/>
      <c r="C16" s="8"/>
      <c r="D16" s="8"/>
    </row>
    <row r="17" spans="1:4" x14ac:dyDescent="0.25">
      <c r="A17" s="2" t="s">
        <v>86</v>
      </c>
      <c r="B17" s="13"/>
      <c r="C17" s="8"/>
      <c r="D17" s="8"/>
    </row>
    <row r="18" spans="1:4" x14ac:dyDescent="0.25">
      <c r="A18" s="2" t="s">
        <v>87</v>
      </c>
      <c r="B18" s="13"/>
      <c r="C18" s="8"/>
      <c r="D18" s="8"/>
    </row>
    <row r="19" spans="1:4" x14ac:dyDescent="0.25">
      <c r="A19" s="2" t="s">
        <v>88</v>
      </c>
      <c r="B19" s="13"/>
      <c r="C19" s="8"/>
      <c r="D19" s="8"/>
    </row>
    <row r="20" spans="1:4" x14ac:dyDescent="0.25">
      <c r="A20" s="2" t="s">
        <v>89</v>
      </c>
      <c r="B20" s="13"/>
      <c r="C20" s="8"/>
      <c r="D20" s="8"/>
    </row>
    <row r="21" spans="1:4" ht="30" x14ac:dyDescent="0.25">
      <c r="A21" s="2" t="s">
        <v>90</v>
      </c>
      <c r="B21" s="14" t="s">
        <v>91</v>
      </c>
      <c r="C21" s="9" t="s">
        <v>92</v>
      </c>
      <c r="D21" s="9" t="s">
        <v>93</v>
      </c>
    </row>
    <row r="22" spans="1:4" ht="45" x14ac:dyDescent="0.25">
      <c r="A22" s="2" t="s">
        <v>94</v>
      </c>
      <c r="B22" s="14" t="s">
        <v>91</v>
      </c>
      <c r="C22" s="9" t="s">
        <v>95</v>
      </c>
      <c r="D22" s="9" t="s">
        <v>96</v>
      </c>
    </row>
    <row r="23" spans="1:4" ht="45" x14ac:dyDescent="0.25">
      <c r="A23" s="2" t="s">
        <v>97</v>
      </c>
      <c r="B23" s="14" t="s">
        <v>91</v>
      </c>
      <c r="C23" s="9" t="s">
        <v>98</v>
      </c>
      <c r="D23" s="9" t="s">
        <v>99</v>
      </c>
    </row>
    <row r="24" spans="1:4" ht="45" x14ac:dyDescent="0.25">
      <c r="A24" s="2" t="s">
        <v>100</v>
      </c>
      <c r="B24" s="14" t="s">
        <v>91</v>
      </c>
      <c r="C24" s="9" t="s">
        <v>101</v>
      </c>
      <c r="D24" s="8" t="s">
        <v>102</v>
      </c>
    </row>
    <row r="25" spans="1:4" ht="60" x14ac:dyDescent="0.25">
      <c r="A25" s="2" t="s">
        <v>103</v>
      </c>
      <c r="B25" s="14" t="s">
        <v>91</v>
      </c>
      <c r="C25" s="9" t="s">
        <v>104</v>
      </c>
      <c r="D25" s="9" t="s">
        <v>105</v>
      </c>
    </row>
    <row r="26" spans="1:4" ht="30" x14ac:dyDescent="0.25">
      <c r="A26" s="2" t="s">
        <v>106</v>
      </c>
      <c r="B26" s="14" t="s">
        <v>91</v>
      </c>
      <c r="C26" s="9" t="s">
        <v>107</v>
      </c>
      <c r="D26" s="9" t="s">
        <v>108</v>
      </c>
    </row>
    <row r="27" spans="1:4" ht="30" x14ac:dyDescent="0.25">
      <c r="A27" s="2" t="s">
        <v>109</v>
      </c>
      <c r="B27" s="14" t="s">
        <v>91</v>
      </c>
      <c r="C27" s="9" t="s">
        <v>110</v>
      </c>
      <c r="D27" s="9" t="s">
        <v>111</v>
      </c>
    </row>
    <row r="28" spans="1:4" x14ac:dyDescent="0.25">
      <c r="A28" s="2" t="s">
        <v>112</v>
      </c>
      <c r="C28" s="16"/>
      <c r="D28" s="16"/>
    </row>
    <row r="29" spans="1:4" x14ac:dyDescent="0.25">
      <c r="A29" s="2" t="s">
        <v>113</v>
      </c>
    </row>
    <row r="30" spans="1:4" x14ac:dyDescent="0.25">
      <c r="A30" s="2" t="s">
        <v>114</v>
      </c>
    </row>
    <row r="31" spans="1:4" x14ac:dyDescent="0.25">
      <c r="A31" s="2" t="s">
        <v>115</v>
      </c>
    </row>
  </sheetData>
  <dataValidations count="1">
    <dataValidation type="list" allowBlank="1" showInputMessage="1" showErrorMessage="1" sqref="B28:B31 B2:B20" xr:uid="{00000000-0002-0000-0300-000000000000}">
      <formula1>"Funcional,Calidad,Restricción"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 activeCell="I12" sqref="I12"/>
    </sheetView>
  </sheetViews>
  <sheetFormatPr baseColWidth="10" defaultColWidth="8.85546875" defaultRowHeight="15" x14ac:dyDescent="0.25"/>
  <cols>
    <col min="1" max="1" width="28.7109375" style="2" customWidth="1"/>
    <col min="2" max="2" width="42.7109375" style="2" customWidth="1"/>
    <col min="3" max="4" width="14.7109375" style="3" customWidth="1"/>
    <col min="5" max="5" width="16.7109375" style="2" customWidth="1"/>
  </cols>
  <sheetData>
    <row r="1" spans="1:5" s="4" customFormat="1" ht="27.95" customHeight="1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ht="30" x14ac:dyDescent="0.25">
      <c r="A2" s="2" t="s">
        <v>121</v>
      </c>
      <c r="B2" s="2" t="s">
        <v>122</v>
      </c>
      <c r="C2" s="3">
        <v>0</v>
      </c>
      <c r="D2" s="3" t="s">
        <v>123</v>
      </c>
      <c r="E2" s="2" t="s">
        <v>124</v>
      </c>
    </row>
    <row r="3" spans="1:5" ht="30" x14ac:dyDescent="0.25">
      <c r="A3" s="2" t="s">
        <v>125</v>
      </c>
      <c r="B3" s="2" t="s">
        <v>126</v>
      </c>
      <c r="C3" s="3">
        <v>0</v>
      </c>
      <c r="D3" s="3" t="s">
        <v>127</v>
      </c>
      <c r="E3" s="2" t="s">
        <v>128</v>
      </c>
    </row>
    <row r="4" spans="1:5" ht="30" x14ac:dyDescent="0.25">
      <c r="A4" s="2" t="s">
        <v>129</v>
      </c>
      <c r="B4" s="2" t="s">
        <v>130</v>
      </c>
      <c r="C4" s="3">
        <v>0</v>
      </c>
      <c r="D4" s="3" t="s">
        <v>131</v>
      </c>
      <c r="E4" s="2" t="s">
        <v>132</v>
      </c>
    </row>
    <row r="5" spans="1:5" ht="30" x14ac:dyDescent="0.25">
      <c r="A5" s="2" t="s">
        <v>133</v>
      </c>
      <c r="B5" s="2" t="s">
        <v>134</v>
      </c>
      <c r="C5" s="3">
        <v>0</v>
      </c>
      <c r="D5" s="3" t="s">
        <v>135</v>
      </c>
      <c r="E5" s="2" t="s">
        <v>124</v>
      </c>
    </row>
    <row r="6" spans="1:5" ht="30" x14ac:dyDescent="0.25">
      <c r="A6" s="2" t="s">
        <v>136</v>
      </c>
      <c r="B6" s="2" t="s">
        <v>137</v>
      </c>
      <c r="C6" s="3" t="s">
        <v>138</v>
      </c>
      <c r="D6" s="3" t="s">
        <v>139</v>
      </c>
      <c r="E6" s="2" t="s">
        <v>140</v>
      </c>
    </row>
  </sheetData>
  <dataValidations count="1">
    <dataValidation type="list" allowBlank="1" showInputMessage="1" showErrorMessage="1" sqref="E2:E31" xr:uid="{00000000-0002-0000-0400-000000000000}">
      <formula1>"Diario,Semanal,Quincenal,Mensual,Trimestral"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zoomScale="85" zoomScaleNormal="85" workbookViewId="0">
      <pane ySplit="1" topLeftCell="A2" activePane="bottomLeft" state="frozen"/>
      <selection pane="bottomLeft" activeCell="G13" sqref="G13"/>
    </sheetView>
  </sheetViews>
  <sheetFormatPr baseColWidth="10" defaultColWidth="8.85546875" defaultRowHeight="15" x14ac:dyDescent="0.25"/>
  <cols>
    <col min="1" max="1" width="39.42578125" style="2" bestFit="1" customWidth="1"/>
    <col min="2" max="5" width="16.7109375" style="2" customWidth="1"/>
    <col min="6" max="6" width="32" style="2" customWidth="1"/>
    <col min="7" max="7" width="19.85546875" style="2" bestFit="1" customWidth="1"/>
    <col min="8" max="8" width="16.42578125" bestFit="1" customWidth="1"/>
    <col min="9" max="9" width="15" bestFit="1" customWidth="1"/>
    <col min="10" max="10" width="16.5703125" bestFit="1" customWidth="1"/>
    <col min="11" max="11" width="23.28515625" bestFit="1" customWidth="1"/>
  </cols>
  <sheetData>
    <row r="1" spans="1:11" s="4" customFormat="1" ht="27.95" customHeight="1" x14ac:dyDescent="0.25">
      <c r="A1" s="1" t="s">
        <v>141</v>
      </c>
      <c r="B1" s="1" t="s">
        <v>6</v>
      </c>
      <c r="C1" s="1" t="s">
        <v>9</v>
      </c>
      <c r="D1" s="1" t="s">
        <v>52</v>
      </c>
      <c r="E1" s="1" t="s">
        <v>15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/>
    </row>
    <row r="2" spans="1:11" x14ac:dyDescent="0.25">
      <c r="A2" s="5" t="s">
        <v>147</v>
      </c>
      <c r="B2" s="2" t="s">
        <v>148</v>
      </c>
      <c r="C2" s="2" t="s">
        <v>148</v>
      </c>
      <c r="D2" s="2" t="s">
        <v>149</v>
      </c>
      <c r="E2" s="2" t="s">
        <v>150</v>
      </c>
      <c r="F2" s="2" t="s">
        <v>150</v>
      </c>
      <c r="G2" s="2" t="s">
        <v>148</v>
      </c>
      <c r="H2" s="2" t="s">
        <v>148</v>
      </c>
      <c r="I2" s="2" t="s">
        <v>148</v>
      </c>
      <c r="J2" s="2" t="s">
        <v>149</v>
      </c>
      <c r="K2" s="2"/>
    </row>
    <row r="3" spans="1:11" x14ac:dyDescent="0.25">
      <c r="A3" s="5" t="s">
        <v>151</v>
      </c>
      <c r="B3" s="2" t="s">
        <v>148</v>
      </c>
      <c r="C3" s="2" t="s">
        <v>148</v>
      </c>
      <c r="D3" s="2" t="s">
        <v>149</v>
      </c>
      <c r="E3" s="2" t="s">
        <v>150</v>
      </c>
      <c r="F3" s="2" t="s">
        <v>150</v>
      </c>
      <c r="G3" s="2" t="s">
        <v>150</v>
      </c>
      <c r="H3" s="2" t="s">
        <v>150</v>
      </c>
      <c r="I3" s="2" t="s">
        <v>148</v>
      </c>
      <c r="J3" s="2" t="s">
        <v>149</v>
      </c>
      <c r="K3" s="2"/>
    </row>
    <row r="4" spans="1:11" x14ac:dyDescent="0.25">
      <c r="A4" s="5" t="s">
        <v>152</v>
      </c>
      <c r="B4" s="2" t="s">
        <v>148</v>
      </c>
      <c r="C4" s="2" t="s">
        <v>148</v>
      </c>
      <c r="D4" s="2" t="s">
        <v>149</v>
      </c>
      <c r="E4" s="2" t="s">
        <v>150</v>
      </c>
      <c r="F4" s="2" t="s">
        <v>150</v>
      </c>
      <c r="G4" s="2" t="s">
        <v>150</v>
      </c>
      <c r="H4" s="2" t="s">
        <v>150</v>
      </c>
      <c r="I4" s="2" t="s">
        <v>148</v>
      </c>
      <c r="J4" s="2" t="s">
        <v>149</v>
      </c>
      <c r="K4" s="2"/>
    </row>
    <row r="5" spans="1:11" x14ac:dyDescent="0.25">
      <c r="A5" s="5" t="s">
        <v>153</v>
      </c>
      <c r="B5" s="2" t="s">
        <v>148</v>
      </c>
      <c r="C5" s="2" t="s">
        <v>148</v>
      </c>
      <c r="D5" s="2" t="s">
        <v>149</v>
      </c>
      <c r="E5" s="2" t="s">
        <v>150</v>
      </c>
      <c r="F5" s="2" t="s">
        <v>150</v>
      </c>
      <c r="G5" s="2" t="s">
        <v>150</v>
      </c>
      <c r="H5" s="2" t="s">
        <v>150</v>
      </c>
      <c r="I5" s="2" t="s">
        <v>154</v>
      </c>
      <c r="J5" s="2" t="s">
        <v>149</v>
      </c>
      <c r="K5" s="2"/>
    </row>
    <row r="6" spans="1:11" x14ac:dyDescent="0.25">
      <c r="A6" s="5" t="s">
        <v>155</v>
      </c>
      <c r="B6" s="2" t="s">
        <v>150</v>
      </c>
      <c r="C6" s="2" t="s">
        <v>154</v>
      </c>
      <c r="D6" s="2" t="s">
        <v>149</v>
      </c>
      <c r="E6" s="2" t="s">
        <v>150</v>
      </c>
      <c r="F6" s="2" t="s">
        <v>154</v>
      </c>
      <c r="G6" s="2" t="s">
        <v>150</v>
      </c>
      <c r="H6" s="2" t="s">
        <v>150</v>
      </c>
      <c r="I6" s="2" t="s">
        <v>148</v>
      </c>
      <c r="J6" s="2" t="s">
        <v>154</v>
      </c>
      <c r="K6" s="2"/>
    </row>
    <row r="7" spans="1:11" x14ac:dyDescent="0.25">
      <c r="A7" s="5" t="s">
        <v>156</v>
      </c>
      <c r="B7" s="2" t="s">
        <v>150</v>
      </c>
      <c r="C7" s="2" t="s">
        <v>150</v>
      </c>
      <c r="D7" s="2" t="s">
        <v>149</v>
      </c>
      <c r="E7" s="2" t="s">
        <v>150</v>
      </c>
      <c r="F7" s="2" t="s">
        <v>154</v>
      </c>
      <c r="G7" s="2" t="s">
        <v>150</v>
      </c>
      <c r="H7" s="2" t="s">
        <v>150</v>
      </c>
      <c r="I7" s="2" t="s">
        <v>154</v>
      </c>
      <c r="J7" s="2" t="s">
        <v>149</v>
      </c>
      <c r="K7" s="2"/>
    </row>
    <row r="8" spans="1:11" x14ac:dyDescent="0.25">
      <c r="A8" s="5" t="s">
        <v>157</v>
      </c>
      <c r="B8" s="2" t="s">
        <v>150</v>
      </c>
      <c r="C8" s="2" t="s">
        <v>150</v>
      </c>
      <c r="D8" s="2" t="s">
        <v>149</v>
      </c>
      <c r="E8" s="2" t="s">
        <v>150</v>
      </c>
      <c r="F8" s="2" t="s">
        <v>154</v>
      </c>
      <c r="G8" s="2" t="s">
        <v>150</v>
      </c>
      <c r="H8" s="2" t="s">
        <v>150</v>
      </c>
      <c r="I8" s="2" t="s">
        <v>148</v>
      </c>
      <c r="J8" s="2" t="s">
        <v>154</v>
      </c>
      <c r="K8" s="2"/>
    </row>
    <row r="9" spans="1:11" x14ac:dyDescent="0.25">
      <c r="A9" s="5" t="s">
        <v>158</v>
      </c>
      <c r="B9" s="2" t="s">
        <v>150</v>
      </c>
      <c r="C9" s="2" t="s">
        <v>150</v>
      </c>
      <c r="D9" s="2" t="s">
        <v>149</v>
      </c>
      <c r="E9" s="2" t="s">
        <v>150</v>
      </c>
      <c r="F9" s="2" t="s">
        <v>154</v>
      </c>
      <c r="G9" s="2" t="s">
        <v>150</v>
      </c>
      <c r="H9" s="2" t="s">
        <v>150</v>
      </c>
      <c r="I9" s="2" t="s">
        <v>148</v>
      </c>
      <c r="J9" s="2" t="s">
        <v>154</v>
      </c>
      <c r="K9" s="2"/>
    </row>
    <row r="10" spans="1:11" x14ac:dyDescent="0.25">
      <c r="H10" s="2"/>
      <c r="I10" s="2"/>
      <c r="J10" s="2"/>
      <c r="K10" s="2"/>
    </row>
    <row r="11" spans="1:11" x14ac:dyDescent="0.25">
      <c r="H11" s="2"/>
      <c r="I11" s="2"/>
      <c r="J11" s="2"/>
      <c r="K11" s="2"/>
    </row>
    <row r="12" spans="1:11" x14ac:dyDescent="0.25">
      <c r="H12" s="2"/>
      <c r="I12" s="2"/>
      <c r="J12" s="2"/>
      <c r="K12" s="2"/>
    </row>
    <row r="13" spans="1:11" x14ac:dyDescent="0.25">
      <c r="H13" s="2"/>
      <c r="I13" s="2"/>
      <c r="J13" s="2"/>
      <c r="K13" s="2"/>
    </row>
    <row r="14" spans="1:11" x14ac:dyDescent="0.25">
      <c r="H14" s="2"/>
      <c r="I14" s="2"/>
      <c r="J14" s="2"/>
      <c r="K14" s="2"/>
    </row>
    <row r="15" spans="1:11" x14ac:dyDescent="0.25">
      <c r="H15" s="2"/>
      <c r="I15" s="2"/>
      <c r="J15" s="2"/>
      <c r="K15" s="2"/>
    </row>
    <row r="16" spans="1:11" x14ac:dyDescent="0.25">
      <c r="H16" s="2"/>
      <c r="I16" s="2"/>
      <c r="J16" s="2"/>
      <c r="K16" s="2"/>
    </row>
    <row r="17" spans="8:11" x14ac:dyDescent="0.25">
      <c r="H17" s="2"/>
      <c r="I17" s="2"/>
      <c r="J17" s="2"/>
      <c r="K17" s="2"/>
    </row>
    <row r="18" spans="8:11" x14ac:dyDescent="0.25">
      <c r="H18" s="2"/>
      <c r="I18" s="2"/>
      <c r="J18" s="2"/>
      <c r="K18" s="2"/>
    </row>
    <row r="19" spans="8:11" x14ac:dyDescent="0.25">
      <c r="H19" s="2"/>
      <c r="I19" s="2"/>
      <c r="J19" s="2"/>
      <c r="K19" s="2"/>
    </row>
    <row r="20" spans="8:11" x14ac:dyDescent="0.25">
      <c r="H20" s="2"/>
      <c r="I20" s="2"/>
      <c r="J20" s="2"/>
      <c r="K20" s="2"/>
    </row>
    <row r="21" spans="8:11" x14ac:dyDescent="0.25">
      <c r="H21" s="2"/>
      <c r="I21" s="2"/>
      <c r="J21" s="2"/>
      <c r="K21" s="2"/>
    </row>
    <row r="22" spans="8:11" x14ac:dyDescent="0.25">
      <c r="H22" s="2"/>
      <c r="I22" s="2"/>
      <c r="J22" s="2"/>
      <c r="K22" s="2"/>
    </row>
    <row r="23" spans="8:11" x14ac:dyDescent="0.25">
      <c r="H23" s="2"/>
      <c r="I23" s="2"/>
      <c r="J23" s="2"/>
      <c r="K23" s="2"/>
    </row>
    <row r="24" spans="8:11" x14ac:dyDescent="0.25">
      <c r="H24" s="2"/>
      <c r="I24" s="2"/>
      <c r="J24" s="2"/>
      <c r="K24" s="2"/>
    </row>
    <row r="25" spans="8:11" x14ac:dyDescent="0.25">
      <c r="H25" s="2"/>
      <c r="I25" s="2"/>
      <c r="J25" s="2"/>
      <c r="K25" s="2"/>
    </row>
    <row r="26" spans="8:11" x14ac:dyDescent="0.25">
      <c r="H26" s="2"/>
      <c r="I26" s="2"/>
      <c r="J26" s="2"/>
      <c r="K26" s="2"/>
    </row>
    <row r="27" spans="8:11" x14ac:dyDescent="0.25">
      <c r="H27" s="2"/>
      <c r="I27" s="2"/>
      <c r="J27" s="2"/>
      <c r="K27" s="2"/>
    </row>
    <row r="28" spans="8:11" x14ac:dyDescent="0.25">
      <c r="H28" s="2"/>
      <c r="I28" s="2"/>
      <c r="J28" s="2"/>
      <c r="K28" s="2"/>
    </row>
    <row r="29" spans="8:11" x14ac:dyDescent="0.25">
      <c r="H29" s="2"/>
      <c r="I29" s="2"/>
      <c r="J29" s="2"/>
      <c r="K29" s="2"/>
    </row>
    <row r="30" spans="8:11" x14ac:dyDescent="0.25">
      <c r="H30" s="2"/>
      <c r="I30" s="2"/>
      <c r="J30" s="2"/>
      <c r="K30" s="2"/>
    </row>
    <row r="31" spans="8:11" x14ac:dyDescent="0.25">
      <c r="H31" s="2"/>
      <c r="I31" s="2"/>
      <c r="J31" s="2"/>
      <c r="K31" s="2"/>
    </row>
  </sheetData>
  <conditionalFormatting sqref="K2:K31">
    <cfRule type="containsText" dxfId="1" priority="1" operator="containsText" text="OK">
      <formula>NOT(ISERROR(SEARCH("OK",K2)))</formula>
    </cfRule>
    <cfRule type="containsText" dxfId="0" priority="2" operator="containsText" text="Revisar">
      <formula>NOT(ISERROR(SEARCH("Revisar",K2)))</formula>
    </cfRule>
  </conditionalFormatting>
  <dataValidations count="1">
    <dataValidation type="list" allowBlank="1" showInputMessage="1" showErrorMessage="1" sqref="B2:J31" xr:uid="{00000000-0002-0000-0500-000000000000}">
      <formula1>"R,A,C,I,"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8.85546875" defaultRowHeight="15" x14ac:dyDescent="0.25"/>
  <cols>
    <col min="1" max="1" width="10.7109375" style="2" customWidth="1"/>
    <col min="2" max="3" width="28.7109375" style="2" customWidth="1"/>
    <col min="4" max="4" width="16.7109375" style="2" customWidth="1"/>
  </cols>
  <sheetData>
    <row r="1" spans="1:4" s="4" customFormat="1" ht="27.95" customHeight="1" x14ac:dyDescent="0.25">
      <c r="A1" s="1" t="s">
        <v>159</v>
      </c>
      <c r="B1" s="1" t="s">
        <v>160</v>
      </c>
      <c r="C1" s="1" t="s">
        <v>161</v>
      </c>
      <c r="D1" s="1" t="s">
        <v>162</v>
      </c>
    </row>
    <row r="2" spans="1:4" ht="45" x14ac:dyDescent="0.25">
      <c r="A2" s="2" t="s">
        <v>56</v>
      </c>
      <c r="B2" s="2" t="s">
        <v>163</v>
      </c>
      <c r="C2" s="2" t="s">
        <v>164</v>
      </c>
      <c r="D2" s="2" t="s">
        <v>165</v>
      </c>
    </row>
    <row r="3" spans="1:4" ht="30" x14ac:dyDescent="0.25">
      <c r="A3" s="2" t="s">
        <v>59</v>
      </c>
      <c r="B3" s="2" t="s">
        <v>166</v>
      </c>
      <c r="C3" s="2" t="s">
        <v>167</v>
      </c>
      <c r="D3" s="2" t="s">
        <v>165</v>
      </c>
    </row>
    <row r="4" spans="1:4" ht="60" x14ac:dyDescent="0.25">
      <c r="A4" s="2" t="s">
        <v>61</v>
      </c>
      <c r="B4" s="2" t="s">
        <v>168</v>
      </c>
      <c r="C4" s="2" t="s">
        <v>169</v>
      </c>
      <c r="D4" s="2" t="s">
        <v>165</v>
      </c>
    </row>
    <row r="5" spans="1:4" ht="30" x14ac:dyDescent="0.25">
      <c r="A5" s="2" t="s">
        <v>63</v>
      </c>
      <c r="B5" s="2" t="s">
        <v>170</v>
      </c>
      <c r="C5" s="2" t="s">
        <v>171</v>
      </c>
      <c r="D5" s="2" t="s">
        <v>165</v>
      </c>
    </row>
    <row r="6" spans="1:4" ht="45" x14ac:dyDescent="0.25">
      <c r="A6" s="2" t="s">
        <v>65</v>
      </c>
      <c r="B6" s="2" t="s">
        <v>172</v>
      </c>
      <c r="C6" s="2" t="s">
        <v>173</v>
      </c>
      <c r="D6" s="2" t="s">
        <v>165</v>
      </c>
    </row>
    <row r="7" spans="1:4" ht="60" x14ac:dyDescent="0.25">
      <c r="A7" s="2" t="s">
        <v>68</v>
      </c>
      <c r="B7" s="2" t="s">
        <v>174</v>
      </c>
      <c r="C7" s="2" t="s">
        <v>175</v>
      </c>
      <c r="D7" s="2" t="s">
        <v>165</v>
      </c>
    </row>
    <row r="8" spans="1:4" ht="30" x14ac:dyDescent="0.25">
      <c r="A8" s="2" t="s">
        <v>70</v>
      </c>
      <c r="B8" s="2" t="s">
        <v>176</v>
      </c>
      <c r="C8" s="2" t="s">
        <v>177</v>
      </c>
      <c r="D8" s="2" t="s">
        <v>165</v>
      </c>
    </row>
    <row r="9" spans="1:4" ht="45" x14ac:dyDescent="0.25">
      <c r="A9" s="2" t="s">
        <v>72</v>
      </c>
      <c r="B9" s="2" t="s">
        <v>178</v>
      </c>
      <c r="C9" s="2" t="s">
        <v>179</v>
      </c>
      <c r="D9" s="2" t="s">
        <v>165</v>
      </c>
    </row>
    <row r="10" spans="1:4" ht="30" x14ac:dyDescent="0.25">
      <c r="A10" s="2" t="s">
        <v>75</v>
      </c>
      <c r="B10" s="2" t="s">
        <v>180</v>
      </c>
      <c r="C10" s="2" t="s">
        <v>181</v>
      </c>
      <c r="D10" s="2" t="s">
        <v>165</v>
      </c>
    </row>
    <row r="11" spans="1:4" ht="30" x14ac:dyDescent="0.25">
      <c r="A11" s="2" t="s">
        <v>77</v>
      </c>
      <c r="B11" s="2" t="s">
        <v>182</v>
      </c>
      <c r="C11" s="2" t="s">
        <v>183</v>
      </c>
      <c r="D11" s="2" t="s">
        <v>165</v>
      </c>
    </row>
    <row r="12" spans="1:4" ht="30" x14ac:dyDescent="0.25">
      <c r="A12" s="2" t="s">
        <v>79</v>
      </c>
      <c r="B12" s="2" t="s">
        <v>184</v>
      </c>
      <c r="C12" s="2" t="s">
        <v>185</v>
      </c>
      <c r="D12" s="2" t="s">
        <v>165</v>
      </c>
    </row>
    <row r="13" spans="1:4" ht="30" x14ac:dyDescent="0.25">
      <c r="A13" s="2" t="s">
        <v>81</v>
      </c>
      <c r="B13" s="2" t="s">
        <v>186</v>
      </c>
      <c r="C13" s="2" t="s">
        <v>187</v>
      </c>
      <c r="D13" s="2" t="s">
        <v>165</v>
      </c>
    </row>
    <row r="14" spans="1:4" ht="30" x14ac:dyDescent="0.25">
      <c r="A14" s="2" t="s">
        <v>83</v>
      </c>
      <c r="B14" s="2" t="s">
        <v>188</v>
      </c>
      <c r="C14" s="2" t="s">
        <v>189</v>
      </c>
      <c r="D14" s="2" t="s">
        <v>165</v>
      </c>
    </row>
    <row r="15" spans="1:4" ht="30" x14ac:dyDescent="0.25">
      <c r="A15" s="2" t="s">
        <v>84</v>
      </c>
      <c r="B15" s="2" t="s">
        <v>190</v>
      </c>
      <c r="C15" s="2" t="s">
        <v>191</v>
      </c>
      <c r="D15" s="2" t="s">
        <v>165</v>
      </c>
    </row>
    <row r="16" spans="1:4" ht="30" x14ac:dyDescent="0.25">
      <c r="A16" s="2" t="s">
        <v>85</v>
      </c>
      <c r="B16" s="2" t="s">
        <v>192</v>
      </c>
      <c r="C16" s="2" t="s">
        <v>193</v>
      </c>
      <c r="D16" s="2" t="s">
        <v>165</v>
      </c>
    </row>
    <row r="17" spans="1:4" ht="45" x14ac:dyDescent="0.25">
      <c r="A17" s="2" t="s">
        <v>86</v>
      </c>
      <c r="B17" s="2" t="s">
        <v>194</v>
      </c>
      <c r="C17" s="2" t="s">
        <v>195</v>
      </c>
      <c r="D17" s="2" t="s">
        <v>165</v>
      </c>
    </row>
    <row r="18" spans="1:4" ht="45" x14ac:dyDescent="0.25">
      <c r="A18" s="2" t="s">
        <v>87</v>
      </c>
      <c r="B18" s="2" t="s">
        <v>196</v>
      </c>
      <c r="C18" s="2" t="s">
        <v>197</v>
      </c>
      <c r="D18" s="2" t="s">
        <v>165</v>
      </c>
    </row>
    <row r="19" spans="1:4" ht="30" x14ac:dyDescent="0.25">
      <c r="A19" s="2" t="s">
        <v>88</v>
      </c>
      <c r="B19" s="2" t="s">
        <v>198</v>
      </c>
      <c r="C19" s="2" t="s">
        <v>199</v>
      </c>
      <c r="D19" s="2" t="s">
        <v>165</v>
      </c>
    </row>
    <row r="20" spans="1:4" ht="45" x14ac:dyDescent="0.25">
      <c r="A20" s="2" t="s">
        <v>89</v>
      </c>
      <c r="B20" s="2" t="s">
        <v>200</v>
      </c>
      <c r="C20" s="2" t="s">
        <v>201</v>
      </c>
      <c r="D20" s="2" t="s">
        <v>165</v>
      </c>
    </row>
  </sheetData>
  <dataValidations count="1">
    <dataValidation type="list" allowBlank="1" showInputMessage="1" showErrorMessage="1" sqref="D2:D31" xr:uid="{00000000-0002-0000-0600-000000000000}">
      <formula1>"Pendiente,En curso,Hecho"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C7" sqref="C7"/>
    </sheetView>
  </sheetViews>
  <sheetFormatPr baseColWidth="10" defaultColWidth="8.85546875" defaultRowHeight="15" x14ac:dyDescent="0.25"/>
  <cols>
    <col min="1" max="1" width="43.42578125" customWidth="1"/>
    <col min="2" max="2" width="32.42578125" customWidth="1"/>
    <col min="3" max="3" width="36.7109375" customWidth="1"/>
  </cols>
  <sheetData>
    <row r="1" spans="1:3" x14ac:dyDescent="0.25">
      <c r="A1" s="4" t="s">
        <v>202</v>
      </c>
      <c r="B1" s="4" t="s">
        <v>203</v>
      </c>
      <c r="C1" s="4" t="s">
        <v>204</v>
      </c>
    </row>
    <row r="2" spans="1:3" x14ac:dyDescent="0.25">
      <c r="A2" s="2" t="s">
        <v>205</v>
      </c>
      <c r="B2">
        <v>1</v>
      </c>
      <c r="C2" s="2" t="s">
        <v>206</v>
      </c>
    </row>
    <row r="3" spans="1:3" x14ac:dyDescent="0.25">
      <c r="A3" s="2" t="s">
        <v>207</v>
      </c>
      <c r="B3">
        <v>1</v>
      </c>
      <c r="C3" s="2" t="s">
        <v>208</v>
      </c>
    </row>
    <row r="4" spans="1:3" x14ac:dyDescent="0.25">
      <c r="A4" s="2" t="s">
        <v>209</v>
      </c>
      <c r="B4">
        <v>4</v>
      </c>
      <c r="C4" s="2" t="s">
        <v>210</v>
      </c>
    </row>
    <row r="5" spans="1:3" x14ac:dyDescent="0.25">
      <c r="A5" s="2" t="s">
        <v>211</v>
      </c>
      <c r="B5">
        <v>2</v>
      </c>
      <c r="C5" s="2" t="s">
        <v>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5546875" defaultRowHeight="15" x14ac:dyDescent="0.25"/>
  <cols>
    <col min="1" max="1" width="14.7109375" style="2" customWidth="1"/>
    <col min="2" max="2" width="70.7109375" style="2" customWidth="1"/>
  </cols>
  <sheetData>
    <row r="1" spans="1:2" s="4" customFormat="1" ht="27.95" customHeight="1" x14ac:dyDescent="0.25">
      <c r="A1" s="1" t="s">
        <v>213</v>
      </c>
      <c r="B1" s="1" t="s">
        <v>214</v>
      </c>
    </row>
    <row r="2" spans="1:2" x14ac:dyDescent="0.25">
      <c r="A2" s="2" t="s">
        <v>215</v>
      </c>
      <c r="B2" s="2" t="s">
        <v>216</v>
      </c>
    </row>
    <row r="3" spans="1:2" x14ac:dyDescent="0.25">
      <c r="A3" s="2" t="s">
        <v>215</v>
      </c>
      <c r="B3" s="2" t="s">
        <v>217</v>
      </c>
    </row>
    <row r="4" spans="1:2" x14ac:dyDescent="0.25">
      <c r="A4" s="2" t="s">
        <v>215</v>
      </c>
      <c r="B4" s="2" t="s">
        <v>218</v>
      </c>
    </row>
    <row r="5" spans="1:2" x14ac:dyDescent="0.25">
      <c r="A5" s="2" t="s">
        <v>215</v>
      </c>
      <c r="B5" s="2" t="s">
        <v>219</v>
      </c>
    </row>
    <row r="6" spans="1:2" x14ac:dyDescent="0.25">
      <c r="A6" s="2" t="s">
        <v>215</v>
      </c>
      <c r="B6" s="2" t="s">
        <v>220</v>
      </c>
    </row>
    <row r="7" spans="1:2" x14ac:dyDescent="0.25">
      <c r="A7" s="2" t="s">
        <v>215</v>
      </c>
      <c r="B7" s="2" t="s">
        <v>221</v>
      </c>
    </row>
  </sheetData>
  <dataValidations count="1">
    <dataValidation type="list" allowBlank="1" showInputMessage="1" showErrorMessage="1" sqref="A2:A7" xr:uid="{00000000-0002-0000-0700-000000000000}">
      <formula1>"Sí,No"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Stakeholders</vt:lpstr>
      <vt:lpstr>Restricciones</vt:lpstr>
      <vt:lpstr>Requerimientos</vt:lpstr>
      <vt:lpstr>Metricas_Exito</vt:lpstr>
      <vt:lpstr>RACI</vt:lpstr>
      <vt:lpstr>Trazabilidad</vt:lpstr>
      <vt:lpstr>Matriz_Poder_Interes</vt:lpstr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Huanchicay Fica, SEBASTI�N IGNACIO</cp:lastModifiedBy>
  <cp:revision/>
  <dcterms:created xsi:type="dcterms:W3CDTF">2025-08-20T02:50:00Z</dcterms:created>
  <dcterms:modified xsi:type="dcterms:W3CDTF">2025-09-30T00:51:40Z</dcterms:modified>
  <cp:category/>
  <cp:contentStatus/>
</cp:coreProperties>
</file>